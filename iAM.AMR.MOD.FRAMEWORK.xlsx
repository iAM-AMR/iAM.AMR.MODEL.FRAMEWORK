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B786450E-7AB5-488A-9DC4-C7DC0865C7B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iAM.AMR OR Framwor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2" l="1"/>
  <c r="J17" i="2"/>
  <c r="L17" i="2" s="1"/>
  <c r="X16" i="2"/>
  <c r="U18" i="2" s="1"/>
  <c r="R19" i="2" s="1"/>
  <c r="P19" i="2" s="1"/>
  <c r="G14" i="2"/>
  <c r="J13" i="2" s="1"/>
  <c r="L13" i="2" s="1"/>
  <c r="X8" i="2"/>
  <c r="U10" i="2" s="1"/>
  <c r="D8" i="2"/>
  <c r="G10" i="2" s="1"/>
  <c r="N19" i="2" l="1"/>
  <c r="G6" i="2"/>
  <c r="J7" i="2" s="1"/>
  <c r="L7" i="2" s="1"/>
  <c r="J15" i="2"/>
  <c r="L15" i="2" s="1"/>
  <c r="U6" i="2"/>
  <c r="U14" i="2"/>
  <c r="R15" i="2" s="1"/>
  <c r="P15" i="2" s="1"/>
  <c r="J11" i="2"/>
  <c r="L11" i="2" s="1"/>
  <c r="J9" i="2"/>
  <c r="L9" i="2" s="1"/>
  <c r="R11" i="2"/>
  <c r="P11" i="2" s="1"/>
  <c r="R9" i="2"/>
  <c r="P9" i="2" s="1"/>
  <c r="R17" i="2"/>
  <c r="P17" i="2" s="1"/>
  <c r="N17" i="2" s="1"/>
  <c r="N11" i="2" l="1"/>
  <c r="J5" i="2"/>
  <c r="L5" i="2" s="1"/>
  <c r="N9" i="2"/>
  <c r="N15" i="2"/>
  <c r="R13" i="2"/>
  <c r="P13" i="2" s="1"/>
  <c r="N13" i="2" s="1"/>
  <c r="R5" i="2"/>
  <c r="R7" i="2"/>
  <c r="P7" i="2" s="1"/>
  <c r="N7" i="2" s="1"/>
  <c r="P5" i="2" l="1"/>
  <c r="N5" i="2" s="1"/>
  <c r="N22" i="2" s="1"/>
</calcChain>
</file>

<file path=xl/sharedStrings.xml><?xml version="1.0" encoding="utf-8"?>
<sst xmlns="http://schemas.openxmlformats.org/spreadsheetml/2006/main" count="86" uniqueCount="45">
  <si>
    <t>F1</t>
  </si>
  <si>
    <t>∏</t>
  </si>
  <si>
    <t>F3</t>
  </si>
  <si>
    <t>{ F1, F2, F3 }</t>
  </si>
  <si>
    <t>{ F1, F2 }</t>
  </si>
  <si>
    <t>{ F1, F3 }</t>
  </si>
  <si>
    <t>{ F1 }</t>
  </si>
  <si>
    <t>{ F2, F3 }</t>
  </si>
  <si>
    <t>{ F2 }</t>
  </si>
  <si>
    <t>{ }</t>
  </si>
  <si>
    <t>{ F3 }</t>
  </si>
  <si>
    <t>←</t>
  </si>
  <si>
    <t>Frequency</t>
  </si>
  <si>
    <t>Probability</t>
  </si>
  <si>
    <t>Factor</t>
  </si>
  <si>
    <t>% Farms</t>
  </si>
  <si>
    <t>F2</t>
  </si>
  <si>
    <t>Odds Ratio</t>
  </si>
  <si>
    <t xml:space="preserve"> → ◊</t>
  </si>
  <si>
    <t>OR</t>
  </si>
  <si>
    <t>Ꝓ { F1, F2, F3 }</t>
  </si>
  <si>
    <r>
      <t>P(AMR)</t>
    </r>
    <r>
      <rPr>
        <vertAlign val="subscript"/>
        <sz val="11"/>
        <color theme="1"/>
        <rFont val="Arial"/>
        <family val="2"/>
      </rPr>
      <t>IN</t>
    </r>
  </si>
  <si>
    <t>Probability
X
 Frequency</t>
  </si>
  <si>
    <t>Ꝓ { F1, F2 }</t>
  </si>
  <si>
    <t>Ꝓ { F1 }</t>
  </si>
  <si>
    <r>
      <t>P(AMR)</t>
    </r>
    <r>
      <rPr>
        <vertAlign val="subscript"/>
        <sz val="11"/>
        <color theme="1"/>
        <rFont val="Arial"/>
        <family val="2"/>
      </rPr>
      <t>OUT</t>
    </r>
    <r>
      <rPr>
        <sz val="11"/>
        <color theme="1"/>
        <rFont val="Arial"/>
        <family val="2"/>
      </rPr>
      <t xml:space="preserve"> = ( OR * P(AMR)</t>
    </r>
    <r>
      <rPr>
        <vertAlign val="subscript"/>
        <sz val="11"/>
        <color theme="1"/>
        <rFont val="Arial"/>
        <family val="2"/>
      </rPr>
      <t>IN</t>
    </r>
    <r>
      <rPr>
        <sz val="11"/>
        <color theme="1"/>
        <rFont val="Arial"/>
        <family val="2"/>
      </rPr>
      <t xml:space="preserve"> ) / ( (1 - P(AMR)</t>
    </r>
    <r>
      <rPr>
        <vertAlign val="subscript"/>
        <sz val="11"/>
        <color theme="1"/>
        <rFont val="Arial"/>
        <family val="2"/>
      </rPr>
      <t>IN</t>
    </r>
    <r>
      <rPr>
        <sz val="11"/>
        <color theme="1"/>
        <rFont val="Arial"/>
        <family val="2"/>
      </rPr>
      <t xml:space="preserve"> ) + OR * P(AMR)</t>
    </r>
    <r>
      <rPr>
        <vertAlign val="subscript"/>
        <sz val="11"/>
        <color theme="1"/>
        <rFont val="Arial"/>
        <family val="2"/>
      </rPr>
      <t>IN</t>
    </r>
    <r>
      <rPr>
        <sz val="11"/>
        <color theme="1"/>
        <rFont val="Arial"/>
        <family val="2"/>
      </rPr>
      <t xml:space="preserve"> )</t>
    </r>
  </si>
  <si>
    <r>
      <rPr>
        <sz val="12"/>
        <color theme="1"/>
        <rFont val="Calibri"/>
        <family val="2"/>
      </rPr>
      <t xml:space="preserve">↓
</t>
    </r>
    <r>
      <rPr>
        <sz val="12"/>
        <color theme="1"/>
        <rFont val="Arial"/>
        <family val="2"/>
      </rPr>
      <t xml:space="preserve">∑ </t>
    </r>
  </si>
  <si>
    <r>
      <t>P(AMR)</t>
    </r>
    <r>
      <rPr>
        <vertAlign val="subscript"/>
        <sz val="11"/>
        <color theme="1"/>
        <rFont val="Arial"/>
        <family val="2"/>
      </rPr>
      <t xml:space="preserve">OUT </t>
    </r>
    <r>
      <rPr>
        <sz val="11"/>
        <color theme="1"/>
        <rFont val="Arial"/>
        <family val="2"/>
      </rPr>
      <t>Stage =</t>
    </r>
  </si>
  <si>
    <r>
      <t>= 1 - F</t>
    </r>
    <r>
      <rPr>
        <vertAlign val="subscript"/>
        <sz val="11"/>
        <color theme="1"/>
        <rFont val="Arial"/>
        <family val="2"/>
      </rPr>
      <t xml:space="preserve">n </t>
    </r>
  </si>
  <si>
    <r>
      <t>is the power set of the set F</t>
    </r>
    <r>
      <rPr>
        <vertAlign val="subscript"/>
        <sz val="11"/>
        <color theme="1"/>
        <rFont val="Arial"/>
        <family val="2"/>
      </rPr>
      <t>n</t>
    </r>
    <r>
      <rPr>
        <sz val="11"/>
        <color theme="1"/>
        <rFont val="Arial"/>
        <family val="2"/>
      </rPr>
      <t xml:space="preserve"> </t>
    </r>
  </si>
  <si>
    <r>
      <t>Ꝓ {F</t>
    </r>
    <r>
      <rPr>
        <b/>
        <vertAlign val="subscript"/>
        <sz val="11"/>
        <color theme="1"/>
        <rFont val="Arial"/>
        <family val="2"/>
      </rPr>
      <t>n</t>
    </r>
    <r>
      <rPr>
        <b/>
        <sz val="11"/>
        <color theme="1"/>
        <rFont val="Arial"/>
        <family val="2"/>
      </rPr>
      <t>}</t>
    </r>
  </si>
  <si>
    <t>{ F1, ¬F2, F3 }</t>
  </si>
  <si>
    <t>{ F1, ¬F2 }</t>
  </si>
  <si>
    <t>{ F1, ¬F2, ¬F3 }</t>
  </si>
  <si>
    <t>{ ¬F1, F2, F3 }</t>
  </si>
  <si>
    <t>{ ¬F1, F2 }</t>
  </si>
  <si>
    <t>{ F1, F2, ¬F3 }</t>
  </si>
  <si>
    <t>{ ¬F1}</t>
  </si>
  <si>
    <t>{ ¬F1, ¬F2, F3 }</t>
  </si>
  <si>
    <t>{ ¬F1, ¬F2 }</t>
  </si>
  <si>
    <t>{ ¬F1, ¬F2, ¬F3 }</t>
  </si>
  <si>
    <r>
      <t>Frequency ¬F</t>
    </r>
    <r>
      <rPr>
        <vertAlign val="subscript"/>
        <sz val="11"/>
        <color theme="1"/>
        <rFont val="Arial"/>
        <family val="2"/>
      </rPr>
      <t>n</t>
    </r>
  </si>
  <si>
    <t>{F1, ¬F1} X {F2, ¬F2} X {F3, ¬F3}</t>
  </si>
  <si>
    <t>{F1, ¬F1} X {F2, ¬F2}</t>
  </si>
  <si>
    <t>{F1, ¬F1}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</si>
</sst>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vertAlign val="subscript"/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b/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3" fillId="0" borderId="0" xfId="1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19049</xdr:colOff>
      <xdr:row>12</xdr:row>
      <xdr:rowOff>220756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BF220D-EB22-E682-058F-614DCD5CB541}"/>
            </a:ext>
          </a:extLst>
        </xdr:cNvPr>
        <xdr:cNvSpPr txBox="1"/>
      </xdr:nvSpPr>
      <xdr:spPr>
        <a:xfrm>
          <a:off x="10048314" y="314549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49C1-E248-4A18-9175-DFC95B9689B9}">
  <dimension ref="B1:Z22"/>
  <sheetViews>
    <sheetView showGridLines="0" tabSelected="1" zoomScaleNormal="100" workbookViewId="0"/>
  </sheetViews>
  <sheetFormatPr defaultRowHeight="14.25" x14ac:dyDescent="0.2"/>
  <cols>
    <col min="1" max="1" width="9.140625" style="1"/>
    <col min="2" max="2" width="2.85546875" style="1" customWidth="1"/>
    <col min="3" max="3" width="9.140625" style="2" customWidth="1"/>
    <col min="4" max="4" width="9.140625" style="1"/>
    <col min="5" max="5" width="2.5703125" style="1" customWidth="1"/>
    <col min="6" max="6" width="13.85546875" style="1" customWidth="1"/>
    <col min="7" max="7" width="9.42578125" style="1" customWidth="1"/>
    <col min="8" max="8" width="2.5703125" style="1" customWidth="1"/>
    <col min="9" max="9" width="19.5703125" style="2" customWidth="1"/>
    <col min="10" max="10" width="10.7109375" style="1" customWidth="1"/>
    <col min="11" max="11" width="5.7109375" style="1" customWidth="1"/>
    <col min="12" max="12" width="10.7109375" style="1" customWidth="1"/>
    <col min="13" max="13" width="2.5703125" style="1" customWidth="1"/>
    <col min="14" max="14" width="13.140625" style="1" customWidth="1"/>
    <col min="15" max="15" width="2.5703125" style="1" customWidth="1"/>
    <col min="16" max="16" width="10.7109375" style="1" customWidth="1"/>
    <col min="17" max="17" width="5.7109375" style="1" customWidth="1"/>
    <col min="18" max="18" width="10.7109375" style="2" customWidth="1"/>
    <col min="19" max="19" width="19.7109375" style="3" customWidth="1"/>
    <col min="20" max="20" width="2.5703125" style="3" customWidth="1"/>
    <col min="21" max="21" width="9.140625" style="2"/>
    <col min="22" max="22" width="13.85546875" style="2" customWidth="1"/>
    <col min="23" max="23" width="2.5703125" style="2" customWidth="1"/>
    <col min="24" max="24" width="9.140625" style="2"/>
    <col min="25" max="25" width="9.140625" style="2" customWidth="1"/>
    <col min="26" max="26" width="2.7109375" style="1" customWidth="1"/>
    <col min="27" max="16384" width="9.140625" style="1"/>
  </cols>
  <sheetData>
    <row r="1" spans="2:26" s="7" customFormat="1" ht="20.25" customHeight="1" x14ac:dyDescent="0.25">
      <c r="C1" s="3"/>
      <c r="D1" s="3"/>
      <c r="E1" s="3"/>
      <c r="G1" s="3"/>
      <c r="H1" s="3"/>
      <c r="I1" s="16"/>
      <c r="J1" s="3"/>
      <c r="L1" s="3"/>
      <c r="M1" s="3"/>
      <c r="N1" s="3"/>
      <c r="P1" s="17"/>
      <c r="R1" s="3"/>
      <c r="S1" s="3"/>
      <c r="T1" s="3"/>
      <c r="U1" s="3"/>
      <c r="V1" s="3"/>
      <c r="W1" s="3"/>
      <c r="X1" s="3"/>
      <c r="Y1" s="3"/>
    </row>
    <row r="2" spans="2:26" s="7" customFormat="1" ht="20.25" customHeight="1" x14ac:dyDescent="0.25">
      <c r="C2" s="41" t="s">
        <v>24</v>
      </c>
      <c r="D2" s="41"/>
      <c r="E2" s="3"/>
      <c r="F2" s="41" t="s">
        <v>23</v>
      </c>
      <c r="G2" s="41"/>
      <c r="H2" s="3"/>
      <c r="I2" s="41" t="s">
        <v>20</v>
      </c>
      <c r="J2" s="41"/>
      <c r="L2" s="34" t="s">
        <v>13</v>
      </c>
      <c r="M2" s="3"/>
      <c r="N2" s="38" t="s">
        <v>22</v>
      </c>
      <c r="P2" s="34" t="s">
        <v>12</v>
      </c>
      <c r="R2" s="37" t="s">
        <v>42</v>
      </c>
      <c r="S2" s="37"/>
      <c r="U2" s="37" t="s">
        <v>43</v>
      </c>
      <c r="V2" s="37"/>
      <c r="W2" s="31"/>
      <c r="X2" s="37" t="s">
        <v>44</v>
      </c>
      <c r="Y2" s="37"/>
    </row>
    <row r="3" spans="2:26" s="7" customFormat="1" ht="27.75" customHeight="1" thickBot="1" x14ac:dyDescent="0.3">
      <c r="B3" s="5"/>
      <c r="C3" s="6" t="s">
        <v>9</v>
      </c>
      <c r="D3" s="6" t="s">
        <v>1</v>
      </c>
      <c r="E3" s="4"/>
      <c r="F3" s="4" t="s">
        <v>9</v>
      </c>
      <c r="G3" s="6" t="s">
        <v>1</v>
      </c>
      <c r="H3" s="4"/>
      <c r="I3" s="6" t="s">
        <v>9</v>
      </c>
      <c r="J3" s="6" t="s">
        <v>1</v>
      </c>
      <c r="K3" s="5"/>
      <c r="L3" s="40"/>
      <c r="M3" s="4"/>
      <c r="N3" s="39"/>
      <c r="O3" s="5"/>
      <c r="P3" s="40"/>
      <c r="Q3" s="5"/>
      <c r="R3" s="6" t="s">
        <v>1</v>
      </c>
      <c r="S3" s="6" t="s">
        <v>9</v>
      </c>
      <c r="T3" s="6"/>
      <c r="U3" s="6" t="s">
        <v>1</v>
      </c>
      <c r="V3" s="6" t="s">
        <v>9</v>
      </c>
      <c r="W3" s="6"/>
      <c r="X3" s="6" t="s">
        <v>1</v>
      </c>
      <c r="Y3" s="6" t="s">
        <v>9</v>
      </c>
      <c r="Z3" s="5"/>
    </row>
    <row r="4" spans="2:26" ht="21" customHeight="1" x14ac:dyDescent="0.2">
      <c r="D4" s="2"/>
      <c r="E4" s="2"/>
      <c r="G4" s="2"/>
      <c r="H4" s="2"/>
      <c r="J4" s="2"/>
      <c r="L4" s="2"/>
      <c r="M4" s="2"/>
      <c r="N4" s="2"/>
    </row>
    <row r="5" spans="2:26" s="3" customFormat="1" ht="18" customHeight="1" x14ac:dyDescent="0.25">
      <c r="D5" s="8"/>
      <c r="E5" s="8"/>
      <c r="F5" s="8"/>
      <c r="I5" s="9" t="s">
        <v>3</v>
      </c>
      <c r="J5" s="9">
        <f>G6 *$D$14</f>
        <v>24</v>
      </c>
      <c r="K5" s="28" t="s">
        <v>18</v>
      </c>
      <c r="L5" s="10">
        <f xml:space="preserve"> (J5 * $C$19) / ((1 -  $C$19) + J5 * $C$19)</f>
        <v>0.96</v>
      </c>
      <c r="M5" s="8"/>
      <c r="N5" s="10">
        <f>L5*P5</f>
        <v>1.8000000000000002E-2</v>
      </c>
      <c r="O5" s="8"/>
      <c r="P5" s="10">
        <f>R5</f>
        <v>1.8750000000000003E-2</v>
      </c>
      <c r="Q5" s="20" t="s">
        <v>11</v>
      </c>
      <c r="R5" s="11">
        <f>U6*$Y$14</f>
        <v>1.8750000000000003E-2</v>
      </c>
      <c r="S5" s="9" t="s">
        <v>3</v>
      </c>
      <c r="T5" s="8"/>
    </row>
    <row r="6" spans="2:26" s="3" customFormat="1" ht="18" customHeight="1" x14ac:dyDescent="0.25">
      <c r="D6" s="8"/>
      <c r="E6" s="8"/>
      <c r="F6" s="9" t="s">
        <v>4</v>
      </c>
      <c r="G6" s="9">
        <f>D8*D13</f>
        <v>6</v>
      </c>
      <c r="H6" s="9"/>
      <c r="I6" s="19"/>
      <c r="J6" s="8"/>
      <c r="K6" s="27"/>
      <c r="L6" s="10"/>
      <c r="M6" s="8"/>
      <c r="N6" s="10"/>
      <c r="O6" s="8"/>
      <c r="P6" s="8"/>
      <c r="Q6" s="8"/>
      <c r="R6" s="14"/>
      <c r="S6" s="23"/>
      <c r="T6" s="15"/>
      <c r="U6" s="18">
        <f>X8*$Y$13</f>
        <v>2.5000000000000001E-2</v>
      </c>
      <c r="V6" s="9" t="s">
        <v>4</v>
      </c>
      <c r="W6" s="8"/>
    </row>
    <row r="7" spans="2:26" s="3" customFormat="1" ht="18" customHeight="1" x14ac:dyDescent="0.25">
      <c r="F7" s="13"/>
      <c r="G7" s="8"/>
      <c r="H7" s="8"/>
      <c r="I7" s="15" t="s">
        <v>4</v>
      </c>
      <c r="J7" s="9">
        <f>G6</f>
        <v>6</v>
      </c>
      <c r="K7" s="28" t="s">
        <v>18</v>
      </c>
      <c r="L7" s="10">
        <f xml:space="preserve"> (J7 * $C$19) / ((1 -  $C$19) + J7 * $C$19)</f>
        <v>0.8571428571428571</v>
      </c>
      <c r="N7" s="10">
        <f>L7*P7</f>
        <v>5.3571428571428572E-3</v>
      </c>
      <c r="O7" s="8"/>
      <c r="P7" s="10">
        <f>R7</f>
        <v>6.2500000000000003E-3</v>
      </c>
      <c r="Q7" s="20" t="s">
        <v>11</v>
      </c>
      <c r="R7" s="11">
        <f>U6*(1-$Y$14)</f>
        <v>6.2500000000000003E-3</v>
      </c>
      <c r="S7" s="12" t="s">
        <v>36</v>
      </c>
      <c r="T7" s="8"/>
      <c r="V7" s="23"/>
      <c r="W7" s="8"/>
    </row>
    <row r="8" spans="2:26" s="3" customFormat="1" ht="18" customHeight="1" x14ac:dyDescent="0.25">
      <c r="C8" s="9" t="s">
        <v>6</v>
      </c>
      <c r="D8" s="9">
        <f>D12</f>
        <v>2</v>
      </c>
      <c r="E8" s="12"/>
      <c r="F8" s="13"/>
      <c r="G8" s="8"/>
      <c r="H8" s="8"/>
      <c r="I8" s="8"/>
      <c r="J8" s="8"/>
      <c r="K8" s="27"/>
      <c r="L8" s="10"/>
      <c r="M8" s="8"/>
      <c r="N8" s="10"/>
      <c r="O8" s="8"/>
      <c r="P8" s="8"/>
      <c r="Q8" s="8"/>
      <c r="R8" s="14"/>
      <c r="S8" s="8"/>
      <c r="T8" s="8"/>
      <c r="V8" s="24"/>
      <c r="W8" s="15"/>
      <c r="X8" s="18">
        <f>Y12</f>
        <v>0.1</v>
      </c>
      <c r="Y8" s="9" t="s">
        <v>6</v>
      </c>
      <c r="Z8" s="18"/>
    </row>
    <row r="9" spans="2:26" s="3" customFormat="1" ht="18" customHeight="1" x14ac:dyDescent="0.25">
      <c r="B9" s="26"/>
      <c r="D9" s="8"/>
      <c r="E9" s="8"/>
      <c r="F9" s="13"/>
      <c r="I9" s="9" t="s">
        <v>5</v>
      </c>
      <c r="J9" s="9">
        <f>G10 *$D$14</f>
        <v>8</v>
      </c>
      <c r="K9" s="28" t="s">
        <v>18</v>
      </c>
      <c r="L9" s="10">
        <f xml:space="preserve"> (J9 * $C$19) / ((1 -  $C$19) + J9 * $C$19)</f>
        <v>0.88888888888888884</v>
      </c>
      <c r="M9" s="8"/>
      <c r="N9" s="10">
        <f>L9*P9</f>
        <v>0.05</v>
      </c>
      <c r="O9" s="8"/>
      <c r="P9" s="10">
        <f>R9</f>
        <v>5.6250000000000008E-2</v>
      </c>
      <c r="Q9" s="20" t="s">
        <v>11</v>
      </c>
      <c r="R9" s="11">
        <f>U10*$Y$14</f>
        <v>5.6250000000000008E-2</v>
      </c>
      <c r="S9" s="9" t="s">
        <v>31</v>
      </c>
      <c r="T9" s="8"/>
      <c r="V9" s="24"/>
      <c r="W9" s="8"/>
    </row>
    <row r="10" spans="2:26" s="3" customFormat="1" ht="18" customHeight="1" x14ac:dyDescent="0.25">
      <c r="C10" s="36" t="s">
        <v>17</v>
      </c>
      <c r="D10" s="36"/>
      <c r="F10" s="15" t="s">
        <v>6</v>
      </c>
      <c r="G10" s="9">
        <f>D8</f>
        <v>2</v>
      </c>
      <c r="H10" s="12"/>
      <c r="I10" s="13"/>
      <c r="J10" s="8"/>
      <c r="K10" s="27"/>
      <c r="L10" s="10"/>
      <c r="M10" s="8"/>
      <c r="N10" s="10"/>
      <c r="O10" s="8"/>
      <c r="P10" s="8"/>
      <c r="Q10" s="8"/>
      <c r="R10" s="14"/>
      <c r="S10" s="23"/>
      <c r="T10" s="8"/>
      <c r="U10" s="18">
        <f>X8*(1-$Y$13)</f>
        <v>7.5000000000000011E-2</v>
      </c>
      <c r="V10" s="12" t="s">
        <v>32</v>
      </c>
      <c r="W10" s="8"/>
      <c r="X10" s="36" t="s">
        <v>12</v>
      </c>
      <c r="Y10" s="36"/>
    </row>
    <row r="11" spans="2:26" s="3" customFormat="1" ht="18" customHeight="1" thickBot="1" x14ac:dyDescent="0.3">
      <c r="C11" s="4" t="s">
        <v>14</v>
      </c>
      <c r="D11" s="22" t="s">
        <v>19</v>
      </c>
      <c r="E11" s="8"/>
      <c r="F11" s="8"/>
      <c r="I11" s="15" t="s">
        <v>6</v>
      </c>
      <c r="J11" s="9">
        <f>G10</f>
        <v>2</v>
      </c>
      <c r="K11" s="28" t="s">
        <v>18</v>
      </c>
      <c r="L11" s="10">
        <f xml:space="preserve"> (J11 * $C$19) / ((1 -  $C$19) + J11 * $C$19)</f>
        <v>0.66666666666666663</v>
      </c>
      <c r="M11" s="8"/>
      <c r="N11" s="10">
        <f>L11*P11</f>
        <v>1.2500000000000001E-2</v>
      </c>
      <c r="O11" s="8"/>
      <c r="P11" s="10">
        <f>R11</f>
        <v>1.8750000000000003E-2</v>
      </c>
      <c r="Q11" s="20" t="s">
        <v>11</v>
      </c>
      <c r="R11" s="11">
        <f>U10*(1-$Y$14)</f>
        <v>1.8750000000000003E-2</v>
      </c>
      <c r="S11" s="12" t="s">
        <v>33</v>
      </c>
      <c r="T11" s="25"/>
      <c r="U11" s="26"/>
      <c r="V11" s="8"/>
      <c r="W11" s="8"/>
      <c r="X11" s="4" t="s">
        <v>14</v>
      </c>
      <c r="Y11" s="4" t="s">
        <v>15</v>
      </c>
    </row>
    <row r="12" spans="2:26" s="3" customFormat="1" ht="18" customHeight="1" x14ac:dyDescent="0.2">
      <c r="C12" s="3" t="s">
        <v>0</v>
      </c>
      <c r="D12" s="2">
        <v>2</v>
      </c>
      <c r="E12" s="8"/>
      <c r="F12" s="8"/>
      <c r="G12" s="8"/>
      <c r="H12" s="8"/>
      <c r="I12" s="8"/>
      <c r="J12" s="8"/>
      <c r="K12" s="27"/>
      <c r="L12" s="10"/>
      <c r="M12" s="8"/>
      <c r="N12" s="10"/>
      <c r="O12" s="8"/>
      <c r="P12" s="8"/>
      <c r="Q12" s="8"/>
      <c r="R12" s="14"/>
      <c r="S12" s="8"/>
      <c r="T12" s="8"/>
      <c r="V12" s="8"/>
      <c r="W12" s="8"/>
      <c r="X12" s="3" t="s">
        <v>0</v>
      </c>
      <c r="Y12" s="21">
        <v>0.1</v>
      </c>
    </row>
    <row r="13" spans="2:26" s="3" customFormat="1" ht="18" customHeight="1" x14ac:dyDescent="0.2">
      <c r="C13" s="3" t="s">
        <v>16</v>
      </c>
      <c r="D13" s="2">
        <v>3</v>
      </c>
      <c r="E13" s="8"/>
      <c r="F13" s="8"/>
      <c r="I13" s="9" t="s">
        <v>7</v>
      </c>
      <c r="J13" s="9">
        <f>G14 *$D$14</f>
        <v>12</v>
      </c>
      <c r="K13" s="28" t="s">
        <v>18</v>
      </c>
      <c r="L13" s="10">
        <f xml:space="preserve"> (J13 * $C$19) / ((1 -  $C$19) + J13 * $C$19)</f>
        <v>0.92307692307692313</v>
      </c>
      <c r="M13" s="8"/>
      <c r="N13" s="10">
        <f>L13*P13</f>
        <v>0.1557692307692308</v>
      </c>
      <c r="O13" s="8"/>
      <c r="P13" s="10">
        <f>R13</f>
        <v>0.16875000000000001</v>
      </c>
      <c r="Q13" s="20" t="s">
        <v>11</v>
      </c>
      <c r="R13" s="11">
        <f>U14*$Y$14</f>
        <v>0.16875000000000001</v>
      </c>
      <c r="S13" s="9" t="s">
        <v>34</v>
      </c>
      <c r="T13" s="8"/>
      <c r="V13" s="8"/>
      <c r="W13" s="8"/>
      <c r="X13" s="3" t="s">
        <v>16</v>
      </c>
      <c r="Y13" s="21">
        <v>0.25</v>
      </c>
    </row>
    <row r="14" spans="2:26" s="3" customFormat="1" ht="18" customHeight="1" x14ac:dyDescent="0.2">
      <c r="C14" s="3" t="s">
        <v>2</v>
      </c>
      <c r="D14" s="2">
        <v>4</v>
      </c>
      <c r="E14" s="8"/>
      <c r="F14" s="9" t="s">
        <v>8</v>
      </c>
      <c r="G14" s="9">
        <f>D16*D13</f>
        <v>3</v>
      </c>
      <c r="H14" s="12"/>
      <c r="I14" s="13"/>
      <c r="J14" s="8"/>
      <c r="K14" s="27"/>
      <c r="L14" s="10"/>
      <c r="M14" s="8"/>
      <c r="N14" s="10"/>
      <c r="O14" s="8"/>
      <c r="P14" s="8"/>
      <c r="Q14" s="8"/>
      <c r="R14" s="14"/>
      <c r="S14" s="23"/>
      <c r="T14" s="8"/>
      <c r="U14" s="18">
        <f>X16*$Y$13</f>
        <v>0.22500000000000001</v>
      </c>
      <c r="V14" s="9" t="s">
        <v>35</v>
      </c>
      <c r="W14" s="8"/>
      <c r="X14" s="3" t="s">
        <v>2</v>
      </c>
      <c r="Y14" s="21">
        <v>0.75</v>
      </c>
    </row>
    <row r="15" spans="2:26" s="3" customFormat="1" ht="18" customHeight="1" x14ac:dyDescent="0.25">
      <c r="F15" s="13"/>
      <c r="G15" s="8"/>
      <c r="H15" s="8"/>
      <c r="I15" s="15" t="s">
        <v>8</v>
      </c>
      <c r="J15" s="9">
        <f>G14</f>
        <v>3</v>
      </c>
      <c r="K15" s="28" t="s">
        <v>18</v>
      </c>
      <c r="L15" s="10">
        <f xml:space="preserve"> (J15 * $C$19) / ((1 -  $C$19) + J15 * $C$19)</f>
        <v>0.75</v>
      </c>
      <c r="M15" s="8"/>
      <c r="N15" s="10">
        <f>L15*P15</f>
        <v>4.2187500000000003E-2</v>
      </c>
      <c r="O15" s="8"/>
      <c r="P15" s="10">
        <f>R15</f>
        <v>5.6250000000000001E-2</v>
      </c>
      <c r="Q15" s="20" t="s">
        <v>11</v>
      </c>
      <c r="R15" s="11">
        <f>U14*(1-$Y$14)</f>
        <v>5.6250000000000001E-2</v>
      </c>
      <c r="S15" s="9" t="s">
        <v>34</v>
      </c>
      <c r="T15" s="19"/>
      <c r="U15" s="26"/>
      <c r="V15" s="8"/>
      <c r="W15" s="13"/>
    </row>
    <row r="16" spans="2:26" s="3" customFormat="1" ht="18" customHeight="1" x14ac:dyDescent="0.25">
      <c r="B16" s="18"/>
      <c r="C16" s="9" t="s">
        <v>9</v>
      </c>
      <c r="D16" s="9">
        <v>1</v>
      </c>
      <c r="E16" s="12"/>
      <c r="F16" s="13"/>
      <c r="G16" s="8"/>
      <c r="H16" s="8"/>
      <c r="I16" s="8"/>
      <c r="J16" s="8"/>
      <c r="K16" s="27"/>
      <c r="L16" s="10"/>
      <c r="M16" s="8"/>
      <c r="N16" s="10"/>
      <c r="O16" s="8"/>
      <c r="P16" s="8"/>
      <c r="Q16" s="8"/>
      <c r="R16" s="14"/>
      <c r="S16" s="8"/>
      <c r="T16" s="8"/>
      <c r="V16" s="8"/>
      <c r="W16" s="15"/>
      <c r="X16" s="18">
        <f>1-Y12</f>
        <v>0.9</v>
      </c>
      <c r="Y16" s="9" t="s">
        <v>37</v>
      </c>
      <c r="Z16" s="18"/>
    </row>
    <row r="17" spans="3:25" s="3" customFormat="1" ht="18" customHeight="1" x14ac:dyDescent="0.25">
      <c r="D17" s="8"/>
      <c r="E17" s="8"/>
      <c r="F17" s="13"/>
      <c r="G17" s="8"/>
      <c r="H17" s="8"/>
      <c r="I17" s="9" t="s">
        <v>10</v>
      </c>
      <c r="J17" s="9">
        <f>G18 *$D$14</f>
        <v>4</v>
      </c>
      <c r="K17" s="28" t="s">
        <v>18</v>
      </c>
      <c r="L17" s="10">
        <f xml:space="preserve"> (J17 * $C$19) / ((1 -  $C$19) + J17 * $C$19)</f>
        <v>0.8</v>
      </c>
      <c r="M17" s="8"/>
      <c r="N17" s="10">
        <f>L17*P17</f>
        <v>0.40500000000000008</v>
      </c>
      <c r="O17" s="8"/>
      <c r="P17" s="10">
        <f>R17</f>
        <v>0.50625000000000009</v>
      </c>
      <c r="Q17" s="20" t="s">
        <v>11</v>
      </c>
      <c r="R17" s="11">
        <f>U18*$Y$14</f>
        <v>0.50625000000000009</v>
      </c>
      <c r="S17" s="9" t="s">
        <v>38</v>
      </c>
      <c r="T17" s="8"/>
      <c r="V17" s="8"/>
      <c r="W17" s="13"/>
    </row>
    <row r="18" spans="3:25" s="3" customFormat="1" ht="18" customHeight="1" x14ac:dyDescent="0.25">
      <c r="C18" s="34" t="s">
        <v>21</v>
      </c>
      <c r="D18" s="34"/>
      <c r="E18" s="8"/>
      <c r="F18" s="15" t="s">
        <v>9</v>
      </c>
      <c r="G18" s="9">
        <v>1</v>
      </c>
      <c r="H18" s="12"/>
      <c r="I18" s="13"/>
      <c r="J18" s="8"/>
      <c r="K18" s="27"/>
      <c r="L18" s="10"/>
      <c r="M18" s="8"/>
      <c r="N18" s="10"/>
      <c r="O18" s="8"/>
      <c r="P18" s="8"/>
      <c r="Q18" s="8"/>
      <c r="R18" s="14"/>
      <c r="S18" s="8"/>
      <c r="T18" s="15"/>
      <c r="U18" s="18">
        <f>X16*(1-$Y$13)</f>
        <v>0.67500000000000004</v>
      </c>
      <c r="V18" s="12" t="s">
        <v>39</v>
      </c>
      <c r="W18" s="13"/>
      <c r="X18" s="34" t="s">
        <v>41</v>
      </c>
      <c r="Y18" s="34"/>
    </row>
    <row r="19" spans="3:25" s="3" customFormat="1" ht="18" customHeight="1" x14ac:dyDescent="0.25">
      <c r="C19" s="34">
        <v>0.5</v>
      </c>
      <c r="D19" s="34"/>
      <c r="E19" s="8"/>
      <c r="F19" s="8"/>
      <c r="G19" s="8"/>
      <c r="H19" s="8"/>
      <c r="I19" s="15" t="s">
        <v>9</v>
      </c>
      <c r="J19" s="9">
        <v>1</v>
      </c>
      <c r="K19" s="28" t="s">
        <v>18</v>
      </c>
      <c r="L19" s="10">
        <f xml:space="preserve"> (J19 * $C$19) / ((1 -  $C$19) + J19 * $C$19)</f>
        <v>0.5</v>
      </c>
      <c r="M19" s="8"/>
      <c r="N19" s="10">
        <f>L19*P19</f>
        <v>8.4375000000000006E-2</v>
      </c>
      <c r="O19" s="8"/>
      <c r="P19" s="10">
        <f>R19</f>
        <v>0.16875000000000001</v>
      </c>
      <c r="Q19" s="20" t="s">
        <v>11</v>
      </c>
      <c r="R19" s="11">
        <f>U18*(1-$Y$14)</f>
        <v>0.16875000000000001</v>
      </c>
      <c r="S19" s="9" t="s">
        <v>40</v>
      </c>
      <c r="T19" s="13"/>
      <c r="U19" s="26"/>
      <c r="X19" s="33" t="s">
        <v>28</v>
      </c>
      <c r="Y19" s="34"/>
    </row>
    <row r="20" spans="3:25" s="3" customFormat="1" ht="36.75" customHeight="1" x14ac:dyDescent="0.25">
      <c r="D20" s="8"/>
      <c r="E20" s="8"/>
      <c r="F20" s="8"/>
      <c r="G20" s="8"/>
      <c r="H20" s="8"/>
      <c r="I20" s="8"/>
      <c r="J20" s="8"/>
      <c r="K20" s="27"/>
      <c r="L20" s="8"/>
      <c r="M20" s="8"/>
      <c r="N20" s="35" t="s">
        <v>26</v>
      </c>
      <c r="O20" s="8"/>
      <c r="P20" s="8"/>
      <c r="Q20" s="8"/>
    </row>
    <row r="21" spans="3:25" s="3" customFormat="1" ht="20.25" customHeight="1" x14ac:dyDescent="0.25">
      <c r="C21" s="29" t="s">
        <v>30</v>
      </c>
      <c r="D21" s="7" t="s">
        <v>29</v>
      </c>
      <c r="E21" s="8"/>
      <c r="F21" s="8"/>
      <c r="G21" s="8"/>
      <c r="H21" s="8"/>
      <c r="I21" s="8"/>
      <c r="J21" s="8"/>
      <c r="K21" s="27"/>
      <c r="L21" s="8"/>
      <c r="M21" s="8"/>
      <c r="N21" s="35"/>
      <c r="O21" s="8"/>
      <c r="P21" s="8"/>
      <c r="Q21" s="8"/>
    </row>
    <row r="22" spans="3:25" s="7" customFormat="1" ht="21.75" customHeight="1" x14ac:dyDescent="0.25">
      <c r="C22" s="30" t="s">
        <v>18</v>
      </c>
      <c r="D22" s="7" t="s">
        <v>25</v>
      </c>
      <c r="F22" s="3"/>
      <c r="K22" s="32" t="s">
        <v>27</v>
      </c>
      <c r="L22" s="32"/>
      <c r="M22" s="32"/>
      <c r="N22" s="14">
        <f>SUM(N5:N19)</f>
        <v>0.77318887362637378</v>
      </c>
      <c r="R22" s="3"/>
    </row>
  </sheetData>
  <mergeCells count="17">
    <mergeCell ref="X10:Y10"/>
    <mergeCell ref="R2:S2"/>
    <mergeCell ref="X2:Y2"/>
    <mergeCell ref="U2:V2"/>
    <mergeCell ref="C10:D10"/>
    <mergeCell ref="N2:N3"/>
    <mergeCell ref="L2:L3"/>
    <mergeCell ref="C2:D2"/>
    <mergeCell ref="P2:P3"/>
    <mergeCell ref="I2:J2"/>
    <mergeCell ref="F2:G2"/>
    <mergeCell ref="K22:M22"/>
    <mergeCell ref="X19:Y19"/>
    <mergeCell ref="X18:Y18"/>
    <mergeCell ref="N20:N21"/>
    <mergeCell ref="C18:D18"/>
    <mergeCell ref="C19:D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iAM.AMR OR Framwork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2026-04-24T15:36:48Z</dcterms:created>
  <dcterms:modified xsi:type="dcterms:W3CDTF">2026-04-24T15:37:01Z</dcterms:modified>
</cp:coreProperties>
</file>